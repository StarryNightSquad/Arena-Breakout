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迅雷下载\暗区突围无限\"/>
    </mc:Choice>
  </mc:AlternateContent>
  <xr:revisionPtr revIDLastSave="0" documentId="13_ncr:1_{DA94CBC9-6858-4D8E-B881-0B9D49688B60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" l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<sst xmlns="http://schemas.openxmlformats.org/spreadsheetml/2006/main" count="154" uniqueCount="73">
  <si>
    <t>数据测定于2025年11月23日</t>
  </si>
  <si>
    <t>感谢玩家 萨拉托加不偷家 傅情缘 对数据测定与整理的帮助</t>
  </si>
  <si>
    <t>除胸部外，任何部位受到的甲伤都只有标准的30%</t>
  </si>
  <si>
    <t>名称</t>
  </si>
  <si>
    <t>防护等级</t>
  </si>
  <si>
    <t>材料</t>
  </si>
  <si>
    <t>耐久</t>
  </si>
  <si>
    <t>损毁系数</t>
  </si>
  <si>
    <t>等效耐久</t>
  </si>
  <si>
    <t>维修损失</t>
  </si>
  <si>
    <t>维修损耗</t>
  </si>
  <si>
    <t>携行空间</t>
  </si>
  <si>
    <t>重量(kg)</t>
  </si>
  <si>
    <t>移动速度(%)</t>
  </si>
  <si>
    <t>人机功效</t>
  </si>
  <si>
    <t>胸部防护</t>
  </si>
  <si>
    <t>腹部防护</t>
  </si>
  <si>
    <t>下腹部防护</t>
  </si>
  <si>
    <t>肩部防护</t>
  </si>
  <si>
    <t>老式工兵防弹胸甲</t>
  </si>
  <si>
    <t>装甲钢</t>
  </si>
  <si>
    <t>/</t>
  </si>
  <si>
    <t>旧安保防弹衣</t>
  </si>
  <si>
    <t>芳纶</t>
  </si>
  <si>
    <t>老式防弹马甲</t>
  </si>
  <si>
    <t>安保防弹衣</t>
  </si>
  <si>
    <t>老式步兵防弹背心</t>
  </si>
  <si>
    <t>铝</t>
  </si>
  <si>
    <t>220防弹衣</t>
  </si>
  <si>
    <t>M1955战斗马甲</t>
  </si>
  <si>
    <t>H-LC轻型防弹衣</t>
  </si>
  <si>
    <t>复合材料</t>
  </si>
  <si>
    <t>H-Tac特勤防弹衣</t>
  </si>
  <si>
    <t>聚乙烯</t>
  </si>
  <si>
    <t>KN制式防弹衣</t>
  </si>
  <si>
    <t>PCA350型防弹衣</t>
  </si>
  <si>
    <t>KN突击防弹衣</t>
  </si>
  <si>
    <t>钛</t>
  </si>
  <si>
    <t>标准特勤防弹衣</t>
  </si>
  <si>
    <t>6B5弹挂甲</t>
  </si>
  <si>
    <t>陶瓷</t>
  </si>
  <si>
    <t>哨兵3型胸挂甲</t>
  </si>
  <si>
    <t>926安保胸挂甲</t>
  </si>
  <si>
    <t>SEK堡垒防弹衣</t>
  </si>
  <si>
    <t>6B23防弹衣</t>
  </si>
  <si>
    <t>6B13防弹衣</t>
  </si>
  <si>
    <t>IND401型防弹衣</t>
  </si>
  <si>
    <t>斯巴达B型防弹衣</t>
  </si>
  <si>
    <t>哨兵305胸挂甲</t>
  </si>
  <si>
    <t>TM1胸挂甲</t>
  </si>
  <si>
    <t>TM2胸挂甲</t>
  </si>
  <si>
    <t>926复合防弹衣</t>
  </si>
  <si>
    <t>H-LC战术防弹衣</t>
  </si>
  <si>
    <t>防卫者M4重型防弹衣</t>
  </si>
  <si>
    <t>防卫者M4重型防弹衣士官涂装</t>
  </si>
  <si>
    <t>IMTV武士标准防弹衣</t>
  </si>
  <si>
    <t>IMTV武士攻击型防弹衣</t>
  </si>
  <si>
    <t>IMTV武士全面防护防弹衣</t>
  </si>
  <si>
    <t>BT6重型防弹衣</t>
  </si>
  <si>
    <t>勇士重型胸挂甲</t>
  </si>
  <si>
    <t>H-Tac A8弹挂甲</t>
  </si>
  <si>
    <t>H-Tac A9弹挂甲</t>
  </si>
  <si>
    <t>防卫者M4重型弹挂甲</t>
  </si>
  <si>
    <t>BT101战术防弹衣</t>
  </si>
  <si>
    <t>6B45重型防弹衣</t>
  </si>
  <si>
    <t>治安官重型防弹衣</t>
  </si>
  <si>
    <t>KN复合防弹衣</t>
  </si>
  <si>
    <t>BT201全护甲防弹衣</t>
  </si>
  <si>
    <t>斯巴达C重型弹挂甲</t>
  </si>
  <si>
    <t>AVS重型弹挂甲</t>
  </si>
  <si>
    <t>AL突击弹挂甲</t>
  </si>
  <si>
    <t>AL战术弹挂甲</t>
  </si>
  <si>
    <t>AL指挥官弹挂甲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</si>
</sst>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%"/>
    <numFmt numFmtId="178" formatCode="0.00_ 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Microsoft YaHei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0000"/>
      </patternFill>
    </fill>
    <fill>
      <patternFill patternType="solid">
        <fgColor rgb="FF319B62"/>
      </patternFill>
    </fill>
    <fill>
      <patternFill patternType="solid">
        <fgColor rgb="FF00B0F0"/>
      </patternFill>
    </fill>
    <fill>
      <patternFill patternType="solid">
        <fgColor rgb="FF9A38D7"/>
      </patternFill>
    </fill>
    <fill>
      <patternFill patternType="solid">
        <fgColor rgb="FFFFC000"/>
      </patternFill>
    </fill>
    <fill>
      <patternFill patternType="solid">
        <fgColor rgb="FFDE3C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178" fontId="0" fillId="4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76" fontId="0" fillId="6" borderId="0" xfId="0" applyNumberFormat="1" applyFill="1" applyAlignment="1">
      <alignment horizontal="center" vertical="center"/>
    </xf>
    <xf numFmtId="177" fontId="0" fillId="6" borderId="0" xfId="0" applyNumberFormat="1" applyFill="1" applyAlignment="1">
      <alignment horizontal="center" vertical="center"/>
    </xf>
    <xf numFmtId="178" fontId="0" fillId="6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177" fontId="0" fillId="7" borderId="0" xfId="0" applyNumberFormat="1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76" fontId="0" fillId="8" borderId="0" xfId="0" applyNumberFormat="1" applyFill="1" applyAlignment="1">
      <alignment horizontal="center" vertical="center"/>
    </xf>
    <xf numFmtId="177" fontId="0" fillId="8" borderId="0" xfId="0" applyNumberFormat="1" applyFill="1" applyAlignment="1">
      <alignment horizontal="center" vertical="center"/>
    </xf>
    <xf numFmtId="178" fontId="0" fillId="8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2"/>
  <sheetViews>
    <sheetView tabSelected="1" workbookViewId="0">
      <selection sqref="A1:XFD1048576"/>
    </sheetView>
  </sheetViews>
  <sheetFormatPr defaultColWidth="16.88671875" defaultRowHeight="13.8"/>
  <cols>
    <col min="1" max="1" width="33" style="1" customWidth="1"/>
    <col min="2" max="3" width="24.77734375" style="1" customWidth="1"/>
    <col min="4" max="4" width="24.77734375" style="3" customWidth="1"/>
    <col min="5" max="5" width="24.77734375" style="1" customWidth="1"/>
    <col min="6" max="7" width="24.77734375" style="3" customWidth="1"/>
    <col min="8" max="8" width="24.77734375" style="5" customWidth="1"/>
    <col min="9" max="9" width="24.77734375" style="1" customWidth="1"/>
    <col min="10" max="10" width="24.77734375" style="6" customWidth="1"/>
    <col min="11" max="32" width="24.77734375" style="1" customWidth="1"/>
    <col min="33" max="16384" width="16.88671875" style="7"/>
  </cols>
  <sheetData>
    <row r="1" spans="1:16" ht="18.75" customHeight="1">
      <c r="B1" s="2" t="s">
        <v>0</v>
      </c>
      <c r="D1" s="2" t="s">
        <v>1</v>
      </c>
      <c r="G1" s="4" t="s">
        <v>2</v>
      </c>
    </row>
    <row r="2" spans="1:16" ht="18.75" customHeight="1">
      <c r="A2" s="1" t="s">
        <v>3</v>
      </c>
      <c r="B2" s="1" t="s">
        <v>4</v>
      </c>
      <c r="C2" s="1" t="s">
        <v>5</v>
      </c>
      <c r="D2" s="3" t="s">
        <v>6</v>
      </c>
      <c r="E2" s="1" t="s">
        <v>7</v>
      </c>
      <c r="F2" s="3" t="s">
        <v>8</v>
      </c>
      <c r="G2" s="3" t="s">
        <v>9</v>
      </c>
      <c r="H2" s="5" t="s">
        <v>10</v>
      </c>
      <c r="I2" s="1" t="s">
        <v>11</v>
      </c>
      <c r="J2" s="6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</row>
    <row r="3" spans="1:16" ht="18.75" customHeight="1">
      <c r="A3" s="1" t="s">
        <v>19</v>
      </c>
      <c r="B3" s="1">
        <v>1</v>
      </c>
      <c r="C3" s="1" t="s">
        <v>20</v>
      </c>
      <c r="D3" s="3">
        <v>25</v>
      </c>
      <c r="E3" s="1">
        <v>0.6</v>
      </c>
      <c r="F3" s="3">
        <f t="shared" ref="F3:F33" si="0">D3/E3</f>
        <v>41.666666666666671</v>
      </c>
      <c r="G3" s="3">
        <v>3</v>
      </c>
      <c r="H3" s="5">
        <v>0.123</v>
      </c>
      <c r="I3" s="1" t="s">
        <v>21</v>
      </c>
      <c r="J3" s="6">
        <v>6</v>
      </c>
      <c r="K3" s="1">
        <v>-1</v>
      </c>
      <c r="L3" s="1">
        <v>-3</v>
      </c>
      <c r="M3" s="8"/>
      <c r="N3" s="8"/>
      <c r="O3" s="8"/>
      <c r="P3" s="9"/>
    </row>
    <row r="4" spans="1:16" ht="18.75" customHeight="1">
      <c r="A4" s="1" t="s">
        <v>22</v>
      </c>
      <c r="B4" s="1">
        <v>1</v>
      </c>
      <c r="C4" s="1" t="s">
        <v>23</v>
      </c>
      <c r="D4" s="3">
        <v>25</v>
      </c>
      <c r="E4" s="1">
        <v>0.3</v>
      </c>
      <c r="F4" s="3">
        <f t="shared" si="0"/>
        <v>83.333333333333343</v>
      </c>
      <c r="G4" s="3">
        <v>0.9</v>
      </c>
      <c r="H4" s="5">
        <v>3.6999999999999998E-2</v>
      </c>
      <c r="I4" s="1" t="s">
        <v>21</v>
      </c>
      <c r="J4" s="6">
        <v>3.7</v>
      </c>
      <c r="K4" s="1" t="s">
        <v>21</v>
      </c>
      <c r="L4" s="1" t="s">
        <v>21</v>
      </c>
      <c r="M4" s="8"/>
      <c r="N4" s="9"/>
      <c r="O4" s="9"/>
      <c r="P4" s="9"/>
    </row>
    <row r="5" spans="1:16" ht="18.75" customHeight="1">
      <c r="A5" s="1" t="s">
        <v>24</v>
      </c>
      <c r="B5" s="1">
        <v>1</v>
      </c>
      <c r="C5" s="1" t="s">
        <v>23</v>
      </c>
      <c r="D5" s="3">
        <v>20</v>
      </c>
      <c r="E5" s="1">
        <v>0.3</v>
      </c>
      <c r="F5" s="3">
        <f t="shared" si="0"/>
        <v>66.666666666666671</v>
      </c>
      <c r="G5" s="3">
        <v>0.7</v>
      </c>
      <c r="H5" s="5">
        <v>3.6999999999999998E-2</v>
      </c>
      <c r="I5" s="1" t="s">
        <v>21</v>
      </c>
      <c r="J5" s="6">
        <v>3.5</v>
      </c>
      <c r="K5" s="1" t="s">
        <v>21</v>
      </c>
      <c r="L5" s="1" t="s">
        <v>21</v>
      </c>
      <c r="M5" s="8"/>
      <c r="N5" s="8"/>
      <c r="O5" s="9"/>
      <c r="P5" s="9"/>
    </row>
    <row r="6" spans="1:16" ht="18.75" customHeight="1">
      <c r="A6" s="10" t="s">
        <v>25</v>
      </c>
      <c r="B6" s="10">
        <v>2</v>
      </c>
      <c r="C6" s="10" t="s">
        <v>23</v>
      </c>
      <c r="D6" s="11">
        <v>25</v>
      </c>
      <c r="E6" s="10">
        <v>0.3</v>
      </c>
      <c r="F6" s="11">
        <f t="shared" si="0"/>
        <v>83.333333333333343</v>
      </c>
      <c r="G6" s="11">
        <v>0.9</v>
      </c>
      <c r="H6" s="12">
        <v>3.6999999999999998E-2</v>
      </c>
      <c r="I6" s="10" t="s">
        <v>21</v>
      </c>
      <c r="J6" s="13">
        <v>3.8</v>
      </c>
      <c r="K6" s="10">
        <v>-1</v>
      </c>
      <c r="L6" s="10" t="s">
        <v>21</v>
      </c>
      <c r="M6" s="8"/>
      <c r="N6" s="9"/>
      <c r="O6" s="9"/>
      <c r="P6" s="9"/>
    </row>
    <row r="7" spans="1:16" ht="18.75" customHeight="1">
      <c r="A7" s="10" t="s">
        <v>26</v>
      </c>
      <c r="B7" s="10">
        <v>2</v>
      </c>
      <c r="C7" s="10" t="s">
        <v>27</v>
      </c>
      <c r="D7" s="11">
        <v>30</v>
      </c>
      <c r="E7" s="10">
        <v>0.45</v>
      </c>
      <c r="F7" s="11">
        <f t="shared" si="0"/>
        <v>66.666666666666671</v>
      </c>
      <c r="G7" s="11">
        <v>2.2000000000000002</v>
      </c>
      <c r="H7" s="12">
        <v>7.5999999999999998E-2</v>
      </c>
      <c r="I7" s="10" t="s">
        <v>21</v>
      </c>
      <c r="J7" s="13">
        <v>3</v>
      </c>
      <c r="K7" s="10">
        <v>-1</v>
      </c>
      <c r="L7" s="10">
        <v>-2</v>
      </c>
      <c r="M7" s="8"/>
      <c r="N7" s="8"/>
      <c r="O7" s="9"/>
      <c r="P7" s="9"/>
    </row>
    <row r="8" spans="1:16" ht="18.75" customHeight="1">
      <c r="A8" s="10" t="s">
        <v>28</v>
      </c>
      <c r="B8" s="10">
        <v>2</v>
      </c>
      <c r="C8" s="10" t="s">
        <v>23</v>
      </c>
      <c r="D8" s="11">
        <v>30</v>
      </c>
      <c r="E8" s="10">
        <v>0.3</v>
      </c>
      <c r="F8" s="11">
        <f t="shared" si="0"/>
        <v>100</v>
      </c>
      <c r="G8" s="11">
        <v>1.1000000000000001</v>
      </c>
      <c r="H8" s="12">
        <v>3.6999999999999998E-2</v>
      </c>
      <c r="I8" s="10" t="s">
        <v>21</v>
      </c>
      <c r="J8" s="13">
        <v>4.4000000000000004</v>
      </c>
      <c r="K8" s="10">
        <v>-1</v>
      </c>
      <c r="L8" s="10" t="s">
        <v>21</v>
      </c>
      <c r="M8" s="8"/>
      <c r="N8" s="8"/>
      <c r="O8" s="9"/>
      <c r="P8" s="9"/>
    </row>
    <row r="9" spans="1:16" ht="18.75" customHeight="1">
      <c r="A9" s="10" t="s">
        <v>29</v>
      </c>
      <c r="B9" s="10">
        <v>2</v>
      </c>
      <c r="C9" s="10" t="s">
        <v>23</v>
      </c>
      <c r="D9" s="11">
        <v>20</v>
      </c>
      <c r="E9" s="10">
        <v>0.3</v>
      </c>
      <c r="F9" s="11">
        <f t="shared" si="0"/>
        <v>66.666666666666671</v>
      </c>
      <c r="G9" s="11">
        <v>0.7</v>
      </c>
      <c r="H9" s="12">
        <v>3.6999999999999998E-2</v>
      </c>
      <c r="I9" s="10">
        <v>8</v>
      </c>
      <c r="J9" s="13">
        <v>4.4000000000000004</v>
      </c>
      <c r="K9" s="10">
        <v>-1</v>
      </c>
      <c r="L9" s="10" t="s">
        <v>21</v>
      </c>
      <c r="M9" s="8"/>
      <c r="N9" s="8"/>
      <c r="O9" s="9"/>
      <c r="P9" s="9"/>
    </row>
    <row r="10" spans="1:16" ht="18.75" customHeight="1">
      <c r="A10" s="14" t="s">
        <v>30</v>
      </c>
      <c r="B10" s="14">
        <v>3</v>
      </c>
      <c r="C10" s="14" t="s">
        <v>31</v>
      </c>
      <c r="D10" s="15">
        <v>55</v>
      </c>
      <c r="E10" s="14">
        <v>0.55000000000000004</v>
      </c>
      <c r="F10" s="15">
        <f t="shared" si="0"/>
        <v>99.999999999999986</v>
      </c>
      <c r="G10" s="15">
        <v>5.6</v>
      </c>
      <c r="H10" s="16">
        <v>0.10100000000000001</v>
      </c>
      <c r="I10" s="14" t="s">
        <v>21</v>
      </c>
      <c r="J10" s="17">
        <v>4.5</v>
      </c>
      <c r="K10" s="14">
        <v>-3</v>
      </c>
      <c r="L10" s="14" t="s">
        <v>21</v>
      </c>
      <c r="M10" s="8"/>
      <c r="N10" s="9"/>
      <c r="O10" s="9"/>
      <c r="P10" s="9"/>
    </row>
    <row r="11" spans="1:16" ht="18.75" customHeight="1">
      <c r="A11" s="14" t="s">
        <v>32</v>
      </c>
      <c r="B11" s="14">
        <v>3</v>
      </c>
      <c r="C11" s="14" t="s">
        <v>33</v>
      </c>
      <c r="D11" s="15">
        <v>35</v>
      </c>
      <c r="E11" s="14">
        <v>0.35</v>
      </c>
      <c r="F11" s="15">
        <f t="shared" si="0"/>
        <v>100</v>
      </c>
      <c r="G11" s="15">
        <v>1.7</v>
      </c>
      <c r="H11" s="16">
        <v>0.05</v>
      </c>
      <c r="I11" s="14" t="s">
        <v>21</v>
      </c>
      <c r="J11" s="17">
        <v>4.0999999999999996</v>
      </c>
      <c r="K11" s="14">
        <v>-2</v>
      </c>
      <c r="L11" s="14" t="s">
        <v>21</v>
      </c>
      <c r="M11" s="8"/>
      <c r="N11" s="9"/>
      <c r="O11" s="9"/>
      <c r="P11" s="9"/>
    </row>
    <row r="12" spans="1:16" ht="18.75" customHeight="1">
      <c r="A12" s="14" t="s">
        <v>34</v>
      </c>
      <c r="B12" s="14">
        <v>3</v>
      </c>
      <c r="C12" s="14" t="s">
        <v>23</v>
      </c>
      <c r="D12" s="15">
        <v>35</v>
      </c>
      <c r="E12" s="14">
        <v>0.3</v>
      </c>
      <c r="F12" s="15">
        <f t="shared" si="0"/>
        <v>116.66666666666667</v>
      </c>
      <c r="G12" s="15">
        <v>1.3</v>
      </c>
      <c r="H12" s="16">
        <v>3.6999999999999998E-2</v>
      </c>
      <c r="I12" s="14" t="s">
        <v>21</v>
      </c>
      <c r="J12" s="17">
        <v>4</v>
      </c>
      <c r="K12" s="14">
        <v>-1</v>
      </c>
      <c r="L12" s="14">
        <v>-1</v>
      </c>
      <c r="M12" s="8"/>
      <c r="N12" s="9"/>
      <c r="O12" s="9"/>
      <c r="P12" s="9"/>
    </row>
    <row r="13" spans="1:16" ht="18.75" customHeight="1">
      <c r="A13" s="14" t="s">
        <v>35</v>
      </c>
      <c r="B13" s="14">
        <v>3</v>
      </c>
      <c r="C13" s="14" t="s">
        <v>27</v>
      </c>
      <c r="D13" s="15">
        <v>50</v>
      </c>
      <c r="E13" s="14">
        <v>0.45</v>
      </c>
      <c r="F13" s="15">
        <f t="shared" si="0"/>
        <v>111.11111111111111</v>
      </c>
      <c r="G13" s="15">
        <v>3.8</v>
      </c>
      <c r="H13" s="16">
        <v>7.5999999999999998E-2</v>
      </c>
      <c r="I13" s="14" t="s">
        <v>21</v>
      </c>
      <c r="J13" s="17">
        <v>6.5</v>
      </c>
      <c r="K13" s="14">
        <v>-3</v>
      </c>
      <c r="L13" s="14">
        <v>-2</v>
      </c>
      <c r="M13" s="8"/>
      <c r="N13" s="8"/>
      <c r="O13" s="9"/>
      <c r="P13" s="9"/>
    </row>
    <row r="14" spans="1:16" ht="18.75" customHeight="1">
      <c r="A14" s="14" t="s">
        <v>36</v>
      </c>
      <c r="B14" s="14">
        <v>3</v>
      </c>
      <c r="C14" s="14" t="s">
        <v>37</v>
      </c>
      <c r="D14" s="15">
        <v>50</v>
      </c>
      <c r="E14" s="14">
        <v>0.4</v>
      </c>
      <c r="F14" s="15">
        <f t="shared" si="0"/>
        <v>125</v>
      </c>
      <c r="G14" s="15">
        <v>3.1</v>
      </c>
      <c r="H14" s="16">
        <v>6.2E-2</v>
      </c>
      <c r="I14" s="14" t="s">
        <v>21</v>
      </c>
      <c r="J14" s="17">
        <v>5</v>
      </c>
      <c r="K14" s="14">
        <v>-6</v>
      </c>
      <c r="L14" s="14">
        <v>-3</v>
      </c>
      <c r="M14" s="8"/>
      <c r="N14" s="8"/>
      <c r="O14" s="8"/>
      <c r="P14" s="9"/>
    </row>
    <row r="15" spans="1:16" ht="18.75" customHeight="1">
      <c r="A15" s="14" t="s">
        <v>38</v>
      </c>
      <c r="B15" s="14">
        <v>3</v>
      </c>
      <c r="C15" s="14" t="s">
        <v>23</v>
      </c>
      <c r="D15" s="15">
        <v>45</v>
      </c>
      <c r="E15" s="14">
        <v>0.3</v>
      </c>
      <c r="F15" s="15">
        <f t="shared" si="0"/>
        <v>150</v>
      </c>
      <c r="G15" s="15">
        <v>1.7</v>
      </c>
      <c r="H15" s="16">
        <v>3.6999999999999998E-2</v>
      </c>
      <c r="I15" s="14" t="s">
        <v>21</v>
      </c>
      <c r="J15" s="17">
        <v>4.5999999999999996</v>
      </c>
      <c r="K15" s="14">
        <v>-3</v>
      </c>
      <c r="L15" s="14">
        <v>-1</v>
      </c>
      <c r="M15" s="8"/>
      <c r="N15" s="8"/>
      <c r="O15" s="9"/>
      <c r="P15" s="9"/>
    </row>
    <row r="16" spans="1:16" ht="18.75" customHeight="1">
      <c r="A16" s="14" t="s">
        <v>39</v>
      </c>
      <c r="B16" s="14">
        <v>3</v>
      </c>
      <c r="C16" s="14" t="s">
        <v>40</v>
      </c>
      <c r="D16" s="15">
        <v>35</v>
      </c>
      <c r="E16" s="14">
        <v>0.65</v>
      </c>
      <c r="F16" s="15">
        <f t="shared" si="0"/>
        <v>53.846153846153847</v>
      </c>
      <c r="G16" s="15">
        <v>5.3</v>
      </c>
      <c r="H16" s="16">
        <v>0.153</v>
      </c>
      <c r="I16" s="14">
        <v>12</v>
      </c>
      <c r="J16" s="17">
        <v>6.5</v>
      </c>
      <c r="K16" s="14">
        <v>-3</v>
      </c>
      <c r="L16" s="14">
        <v>-4</v>
      </c>
      <c r="M16" s="8"/>
      <c r="N16" s="8"/>
      <c r="O16" s="8"/>
      <c r="P16" s="9"/>
    </row>
    <row r="17" spans="1:16" ht="18.75" customHeight="1">
      <c r="A17" s="14" t="s">
        <v>41</v>
      </c>
      <c r="B17" s="14">
        <v>3</v>
      </c>
      <c r="C17" s="14" t="s">
        <v>33</v>
      </c>
      <c r="D17" s="15">
        <v>30</v>
      </c>
      <c r="E17" s="14">
        <v>0.35</v>
      </c>
      <c r="F17" s="15">
        <f t="shared" si="0"/>
        <v>85.714285714285722</v>
      </c>
      <c r="G17" s="15">
        <v>1.5</v>
      </c>
      <c r="H17" s="16">
        <v>0.05</v>
      </c>
      <c r="I17" s="14">
        <v>10</v>
      </c>
      <c r="J17" s="17">
        <v>3.7</v>
      </c>
      <c r="K17" s="14">
        <v>-2</v>
      </c>
      <c r="L17" s="14" t="s">
        <v>21</v>
      </c>
      <c r="M17" s="8"/>
      <c r="N17" s="9"/>
      <c r="O17" s="9"/>
      <c r="P17" s="9"/>
    </row>
    <row r="18" spans="1:16" ht="18.75" customHeight="1">
      <c r="A18" s="14" t="s">
        <v>42</v>
      </c>
      <c r="B18" s="14">
        <v>3</v>
      </c>
      <c r="C18" s="14" t="s">
        <v>23</v>
      </c>
      <c r="D18" s="15">
        <v>25</v>
      </c>
      <c r="E18" s="14">
        <v>0.3</v>
      </c>
      <c r="F18" s="15">
        <f t="shared" si="0"/>
        <v>83.333333333333343</v>
      </c>
      <c r="G18" s="15">
        <v>0.9</v>
      </c>
      <c r="H18" s="16">
        <v>3.6999999999999998E-2</v>
      </c>
      <c r="I18" s="14">
        <v>10</v>
      </c>
      <c r="J18" s="17">
        <v>4.5999999999999996</v>
      </c>
      <c r="K18" s="14">
        <v>-2</v>
      </c>
      <c r="L18" s="14">
        <v>-2</v>
      </c>
      <c r="M18" s="8"/>
      <c r="N18" s="8"/>
      <c r="O18" s="9"/>
      <c r="P18" s="9"/>
    </row>
    <row r="19" spans="1:16" ht="18.75" customHeight="1">
      <c r="A19" s="18" t="s">
        <v>43</v>
      </c>
      <c r="B19" s="18">
        <v>4</v>
      </c>
      <c r="C19" s="18" t="s">
        <v>27</v>
      </c>
      <c r="D19" s="19">
        <v>50</v>
      </c>
      <c r="E19" s="18">
        <v>0.45</v>
      </c>
      <c r="F19" s="19">
        <f t="shared" si="0"/>
        <v>111.11111111111111</v>
      </c>
      <c r="G19" s="19">
        <v>3.8</v>
      </c>
      <c r="H19" s="20">
        <v>7.5999999999999998E-2</v>
      </c>
      <c r="I19" s="18" t="s">
        <v>21</v>
      </c>
      <c r="J19" s="21">
        <v>5.6</v>
      </c>
      <c r="K19" s="18">
        <v>-3</v>
      </c>
      <c r="L19" s="18" t="s">
        <v>21</v>
      </c>
      <c r="M19" s="8"/>
      <c r="N19" s="9"/>
      <c r="O19" s="9"/>
      <c r="P19" s="9"/>
    </row>
    <row r="20" spans="1:16" ht="18.75" customHeight="1">
      <c r="A20" s="18" t="s">
        <v>44</v>
      </c>
      <c r="B20" s="18">
        <v>4</v>
      </c>
      <c r="C20" s="18" t="s">
        <v>20</v>
      </c>
      <c r="D20" s="19">
        <v>70</v>
      </c>
      <c r="E20" s="18">
        <v>0.6</v>
      </c>
      <c r="F20" s="19">
        <f t="shared" si="0"/>
        <v>116.66666666666667</v>
      </c>
      <c r="G20" s="19">
        <v>8.6</v>
      </c>
      <c r="H20" s="20">
        <v>0.123</v>
      </c>
      <c r="I20" s="18" t="s">
        <v>21</v>
      </c>
      <c r="J20" s="21">
        <v>11.2</v>
      </c>
      <c r="K20" s="18">
        <v>-9</v>
      </c>
      <c r="L20" s="18">
        <v>-6</v>
      </c>
      <c r="M20" s="8"/>
      <c r="N20" s="8"/>
      <c r="O20" s="8"/>
      <c r="P20" s="9"/>
    </row>
    <row r="21" spans="1:16" ht="18.75" customHeight="1">
      <c r="A21" s="18" t="s">
        <v>45</v>
      </c>
      <c r="B21" s="18">
        <v>4</v>
      </c>
      <c r="C21" s="18" t="s">
        <v>31</v>
      </c>
      <c r="D21" s="19">
        <v>65</v>
      </c>
      <c r="E21" s="18">
        <v>0.55000000000000004</v>
      </c>
      <c r="F21" s="19">
        <f t="shared" si="0"/>
        <v>118.18181818181817</v>
      </c>
      <c r="G21" s="19">
        <v>6.6</v>
      </c>
      <c r="H21" s="20">
        <v>0.10100000000000001</v>
      </c>
      <c r="I21" s="18" t="s">
        <v>21</v>
      </c>
      <c r="J21" s="21">
        <v>7</v>
      </c>
      <c r="K21" s="18">
        <v>-5</v>
      </c>
      <c r="L21" s="18">
        <v>-5</v>
      </c>
      <c r="M21" s="8"/>
      <c r="N21" s="8"/>
      <c r="O21" s="9"/>
      <c r="P21" s="9"/>
    </row>
    <row r="22" spans="1:16" ht="18.75" customHeight="1">
      <c r="A22" s="18" t="s">
        <v>46</v>
      </c>
      <c r="B22" s="18">
        <v>4</v>
      </c>
      <c r="C22" s="18" t="s">
        <v>27</v>
      </c>
      <c r="D22" s="19">
        <v>55</v>
      </c>
      <c r="E22" s="18">
        <v>0.45</v>
      </c>
      <c r="F22" s="19">
        <f t="shared" si="0"/>
        <v>122.22222222222221</v>
      </c>
      <c r="G22" s="19">
        <v>4.2</v>
      </c>
      <c r="H22" s="20">
        <v>7.5999999999999998E-2</v>
      </c>
      <c r="I22" s="18" t="s">
        <v>21</v>
      </c>
      <c r="J22" s="21">
        <v>6.8</v>
      </c>
      <c r="K22" s="18">
        <v>-4</v>
      </c>
      <c r="L22" s="18">
        <v>-2</v>
      </c>
      <c r="M22" s="8"/>
      <c r="N22" s="8"/>
      <c r="O22" s="9"/>
      <c r="P22" s="9"/>
    </row>
    <row r="23" spans="1:16" ht="18.75" customHeight="1">
      <c r="A23" s="18" t="s">
        <v>47</v>
      </c>
      <c r="B23" s="18">
        <v>4</v>
      </c>
      <c r="C23" s="18" t="s">
        <v>23</v>
      </c>
      <c r="D23" s="19">
        <v>50</v>
      </c>
      <c r="E23" s="18">
        <v>0.3</v>
      </c>
      <c r="F23" s="19">
        <f t="shared" si="0"/>
        <v>166.66666666666669</v>
      </c>
      <c r="G23" s="19">
        <v>1.9</v>
      </c>
      <c r="H23" s="20">
        <v>3.6999999999999998E-2</v>
      </c>
      <c r="I23" s="18" t="s">
        <v>21</v>
      </c>
      <c r="J23" s="21">
        <v>5.4</v>
      </c>
      <c r="K23" s="18">
        <v>-4</v>
      </c>
      <c r="L23" s="18">
        <v>-2</v>
      </c>
      <c r="M23" s="8"/>
      <c r="N23" s="8"/>
      <c r="O23" s="9"/>
      <c r="P23" s="9"/>
    </row>
    <row r="24" spans="1:16" ht="18.75" customHeight="1">
      <c r="A24" s="18" t="s">
        <v>48</v>
      </c>
      <c r="B24" s="18">
        <v>4</v>
      </c>
      <c r="C24" s="18" t="s">
        <v>31</v>
      </c>
      <c r="D24" s="19">
        <v>50</v>
      </c>
      <c r="E24" s="18">
        <v>0.55000000000000004</v>
      </c>
      <c r="F24" s="19">
        <f t="shared" si="0"/>
        <v>90.909090909090907</v>
      </c>
      <c r="G24" s="19">
        <v>5.0999999999999996</v>
      </c>
      <c r="H24" s="20">
        <v>0.10100000000000001</v>
      </c>
      <c r="I24" s="18">
        <v>16</v>
      </c>
      <c r="J24" s="21">
        <v>10</v>
      </c>
      <c r="K24" s="18">
        <v>-3</v>
      </c>
      <c r="L24" s="18">
        <v>-1</v>
      </c>
      <c r="M24" s="8"/>
      <c r="N24" s="9"/>
      <c r="O24" s="9"/>
      <c r="P24" s="9"/>
    </row>
    <row r="25" spans="1:16" ht="18.75" customHeight="1">
      <c r="A25" s="18" t="s">
        <v>49</v>
      </c>
      <c r="B25" s="18">
        <v>4</v>
      </c>
      <c r="C25" s="18" t="s">
        <v>37</v>
      </c>
      <c r="D25" s="19">
        <v>40</v>
      </c>
      <c r="E25" s="18">
        <v>0.4</v>
      </c>
      <c r="F25" s="19">
        <f t="shared" si="0"/>
        <v>100</v>
      </c>
      <c r="G25" s="19">
        <v>2.5</v>
      </c>
      <c r="H25" s="20">
        <v>6.2E-2</v>
      </c>
      <c r="I25" s="18">
        <v>14</v>
      </c>
      <c r="J25" s="21">
        <v>8.1999999999999993</v>
      </c>
      <c r="K25" s="18">
        <v>-5</v>
      </c>
      <c r="L25" s="18">
        <v>-2</v>
      </c>
      <c r="M25" s="8"/>
      <c r="N25" s="8"/>
      <c r="O25" s="9"/>
      <c r="P25" s="9"/>
    </row>
    <row r="26" spans="1:16" ht="18.75" customHeight="1">
      <c r="A26" s="18" t="s">
        <v>50</v>
      </c>
      <c r="B26" s="18">
        <v>4</v>
      </c>
      <c r="C26" s="18" t="s">
        <v>27</v>
      </c>
      <c r="D26" s="19">
        <v>45</v>
      </c>
      <c r="E26" s="18">
        <v>0.45</v>
      </c>
      <c r="F26" s="19">
        <f t="shared" si="0"/>
        <v>100</v>
      </c>
      <c r="G26" s="19">
        <v>3.4</v>
      </c>
      <c r="H26" s="20">
        <v>7.5999999999999998E-2</v>
      </c>
      <c r="I26" s="18">
        <v>16</v>
      </c>
      <c r="J26" s="21">
        <v>10</v>
      </c>
      <c r="K26" s="18">
        <v>-4</v>
      </c>
      <c r="L26" s="18">
        <v>-1</v>
      </c>
      <c r="M26" s="8"/>
      <c r="N26" s="8"/>
      <c r="O26" s="9"/>
      <c r="P26" s="9"/>
    </row>
    <row r="27" spans="1:16" ht="18.75" customHeight="1">
      <c r="A27" s="22" t="s">
        <v>51</v>
      </c>
      <c r="B27" s="22">
        <v>5</v>
      </c>
      <c r="C27" s="22" t="s">
        <v>31</v>
      </c>
      <c r="D27" s="23">
        <v>70</v>
      </c>
      <c r="E27" s="22">
        <v>0.55000000000000004</v>
      </c>
      <c r="F27" s="23">
        <f t="shared" si="0"/>
        <v>127.27272727272727</v>
      </c>
      <c r="G27" s="23">
        <v>7.1</v>
      </c>
      <c r="H27" s="24">
        <v>0.10100000000000001</v>
      </c>
      <c r="I27" s="22" t="s">
        <v>21</v>
      </c>
      <c r="J27" s="25">
        <v>6.2</v>
      </c>
      <c r="K27" s="22">
        <v>-4</v>
      </c>
      <c r="L27" s="22">
        <v>-3</v>
      </c>
      <c r="M27" s="8"/>
      <c r="N27" s="9"/>
      <c r="O27" s="9"/>
      <c r="P27" s="9"/>
    </row>
    <row r="28" spans="1:16" ht="18.75" customHeight="1">
      <c r="A28" s="22" t="s">
        <v>52</v>
      </c>
      <c r="B28" s="22">
        <v>5</v>
      </c>
      <c r="C28" s="22" t="s">
        <v>31</v>
      </c>
      <c r="D28" s="23">
        <v>70</v>
      </c>
      <c r="E28" s="22">
        <v>0.55000000000000004</v>
      </c>
      <c r="F28" s="23">
        <f t="shared" si="0"/>
        <v>127.27272727272727</v>
      </c>
      <c r="G28" s="23">
        <v>7.1</v>
      </c>
      <c r="H28" s="24">
        <v>0.10100000000000001</v>
      </c>
      <c r="I28" s="22" t="s">
        <v>21</v>
      </c>
      <c r="J28" s="25">
        <v>5.9</v>
      </c>
      <c r="K28" s="22">
        <v>-5</v>
      </c>
      <c r="L28" s="22">
        <v>-1</v>
      </c>
      <c r="M28" s="8"/>
      <c r="N28" s="9"/>
      <c r="O28" s="9"/>
      <c r="P28" s="9"/>
    </row>
    <row r="29" spans="1:16" ht="18.75" customHeight="1">
      <c r="A29" s="22" t="s">
        <v>53</v>
      </c>
      <c r="B29" s="22">
        <v>5</v>
      </c>
      <c r="C29" s="22" t="s">
        <v>20</v>
      </c>
      <c r="D29" s="23">
        <v>80</v>
      </c>
      <c r="E29" s="22">
        <v>0.6</v>
      </c>
      <c r="F29" s="23">
        <f t="shared" si="0"/>
        <v>133.33333333333334</v>
      </c>
      <c r="G29" s="23">
        <v>9.8000000000000007</v>
      </c>
      <c r="H29" s="24">
        <v>0.123</v>
      </c>
      <c r="I29" s="22" t="s">
        <v>21</v>
      </c>
      <c r="J29" s="25">
        <v>11.8</v>
      </c>
      <c r="K29" s="22">
        <v>-11</v>
      </c>
      <c r="L29" s="22">
        <v>-5</v>
      </c>
      <c r="M29" s="8"/>
      <c r="N29" s="8"/>
      <c r="O29" s="8"/>
      <c r="P29" s="9"/>
    </row>
    <row r="30" spans="1:16" ht="18.75" customHeight="1">
      <c r="A30" s="22" t="s">
        <v>54</v>
      </c>
      <c r="B30" s="22">
        <v>5</v>
      </c>
      <c r="C30" s="22" t="s">
        <v>20</v>
      </c>
      <c r="D30" s="23">
        <v>80</v>
      </c>
      <c r="E30" s="22">
        <v>0.6</v>
      </c>
      <c r="F30" s="23">
        <f t="shared" si="0"/>
        <v>133.33333333333334</v>
      </c>
      <c r="G30" s="23">
        <v>9.8000000000000007</v>
      </c>
      <c r="H30" s="24">
        <v>0.123</v>
      </c>
      <c r="I30" s="22" t="s">
        <v>21</v>
      </c>
      <c r="J30" s="25">
        <v>11.8</v>
      </c>
      <c r="K30" s="22">
        <v>-10</v>
      </c>
      <c r="L30" s="22">
        <v>-5</v>
      </c>
      <c r="M30" s="8"/>
      <c r="N30" s="8"/>
      <c r="O30" s="8"/>
      <c r="P30" s="9"/>
    </row>
    <row r="31" spans="1:16" ht="18.75" customHeight="1">
      <c r="A31" s="22" t="s">
        <v>55</v>
      </c>
      <c r="B31" s="22">
        <v>5</v>
      </c>
      <c r="C31" s="22" t="s">
        <v>27</v>
      </c>
      <c r="D31" s="23">
        <v>70</v>
      </c>
      <c r="E31" s="22">
        <v>0.45</v>
      </c>
      <c r="F31" s="23">
        <f t="shared" si="0"/>
        <v>155.55555555555554</v>
      </c>
      <c r="G31" s="23">
        <v>5.3</v>
      </c>
      <c r="H31" s="24">
        <v>7.5999999999999998E-2</v>
      </c>
      <c r="I31" s="22" t="s">
        <v>21</v>
      </c>
      <c r="J31" s="25">
        <v>9.6</v>
      </c>
      <c r="K31" s="22">
        <v>-9</v>
      </c>
      <c r="L31" s="22">
        <v>-3</v>
      </c>
      <c r="M31" s="8"/>
      <c r="N31" s="8"/>
      <c r="O31" s="8"/>
      <c r="P31" s="9"/>
    </row>
    <row r="32" spans="1:16" ht="18.75" customHeight="1">
      <c r="A32" s="22" t="s">
        <v>56</v>
      </c>
      <c r="B32" s="22">
        <v>5</v>
      </c>
      <c r="C32" s="22" t="s">
        <v>27</v>
      </c>
      <c r="D32" s="23">
        <v>80</v>
      </c>
      <c r="E32" s="22">
        <v>0.45</v>
      </c>
      <c r="F32" s="23">
        <f t="shared" si="0"/>
        <v>177.77777777777777</v>
      </c>
      <c r="G32" s="23">
        <v>6.1</v>
      </c>
      <c r="H32" s="24">
        <v>7.5999999999999998E-2</v>
      </c>
      <c r="I32" s="22" t="s">
        <v>21</v>
      </c>
      <c r="J32" s="25">
        <v>10</v>
      </c>
      <c r="K32" s="22">
        <v>-10</v>
      </c>
      <c r="L32" s="22">
        <v>-7</v>
      </c>
      <c r="M32" s="8"/>
      <c r="N32" s="8"/>
      <c r="O32" s="9"/>
      <c r="P32" s="8"/>
    </row>
    <row r="33" spans="1:16" ht="18.75" customHeight="1">
      <c r="A33" s="22" t="s">
        <v>57</v>
      </c>
      <c r="B33" s="22">
        <v>5</v>
      </c>
      <c r="C33" s="22" t="s">
        <v>27</v>
      </c>
      <c r="D33" s="23">
        <v>90</v>
      </c>
      <c r="E33" s="22">
        <v>0.45</v>
      </c>
      <c r="F33" s="23">
        <f t="shared" si="0"/>
        <v>200</v>
      </c>
      <c r="G33" s="23">
        <v>6.8</v>
      </c>
      <c r="H33" s="24">
        <v>7.5999999999999998E-2</v>
      </c>
      <c r="I33" s="22" t="s">
        <v>21</v>
      </c>
      <c r="J33" s="25">
        <v>11</v>
      </c>
      <c r="K33" s="22">
        <v>-14</v>
      </c>
      <c r="L33" s="22">
        <v>-8</v>
      </c>
      <c r="M33" s="8"/>
      <c r="N33" s="8"/>
      <c r="O33" s="8"/>
      <c r="P33" s="8"/>
    </row>
    <row r="34" spans="1:16" ht="18.75" customHeight="1">
      <c r="A34" s="22" t="s">
        <v>58</v>
      </c>
      <c r="B34" s="22">
        <v>5</v>
      </c>
      <c r="C34" s="22" t="s">
        <v>37</v>
      </c>
      <c r="D34" s="23">
        <v>90</v>
      </c>
      <c r="E34" s="22">
        <v>0.4</v>
      </c>
      <c r="F34" s="23">
        <v>225</v>
      </c>
      <c r="G34" s="23">
        <v>5.6</v>
      </c>
      <c r="H34" s="24">
        <v>6.2E-2</v>
      </c>
      <c r="I34" s="22" t="s">
        <v>21</v>
      </c>
      <c r="J34" s="25">
        <v>8.6</v>
      </c>
      <c r="K34" s="22">
        <v>-6</v>
      </c>
      <c r="L34" s="22">
        <v>-4</v>
      </c>
      <c r="M34" s="8"/>
      <c r="N34" s="8"/>
      <c r="O34" s="9"/>
      <c r="P34" s="9"/>
    </row>
    <row r="35" spans="1:16" ht="18.75" customHeight="1">
      <c r="A35" s="22" t="s">
        <v>59</v>
      </c>
      <c r="B35" s="22">
        <v>5</v>
      </c>
      <c r="C35" s="22" t="s">
        <v>31</v>
      </c>
      <c r="D35" s="23">
        <v>55</v>
      </c>
      <c r="E35" s="22">
        <v>0.55000000000000004</v>
      </c>
      <c r="F35" s="23">
        <f t="shared" ref="F35:F48" si="1">D35/E35</f>
        <v>99.999999999999986</v>
      </c>
      <c r="G35" s="23">
        <v>5.6</v>
      </c>
      <c r="H35" s="24">
        <v>0.10100000000000001</v>
      </c>
      <c r="I35" s="22">
        <v>16</v>
      </c>
      <c r="J35" s="25">
        <v>7.4</v>
      </c>
      <c r="K35" s="22">
        <v>-6</v>
      </c>
      <c r="L35" s="22">
        <v>-7</v>
      </c>
      <c r="M35" s="8"/>
      <c r="N35" s="8"/>
      <c r="O35" s="9"/>
      <c r="P35" s="9"/>
    </row>
    <row r="36" spans="1:16" ht="18.75" customHeight="1">
      <c r="A36" s="22" t="s">
        <v>60</v>
      </c>
      <c r="B36" s="22">
        <v>5</v>
      </c>
      <c r="C36" s="22" t="s">
        <v>31</v>
      </c>
      <c r="D36" s="23">
        <v>60</v>
      </c>
      <c r="E36" s="22">
        <v>0.55000000000000004</v>
      </c>
      <c r="F36" s="23">
        <f t="shared" si="1"/>
        <v>109.09090909090908</v>
      </c>
      <c r="G36" s="23">
        <v>6.1</v>
      </c>
      <c r="H36" s="24">
        <v>0.10100000000000001</v>
      </c>
      <c r="I36" s="22">
        <v>18</v>
      </c>
      <c r="J36" s="25">
        <v>5.9</v>
      </c>
      <c r="K36" s="22">
        <v>-4</v>
      </c>
      <c r="L36" s="22">
        <v>-5</v>
      </c>
      <c r="M36" s="8"/>
      <c r="N36" s="9"/>
      <c r="O36" s="9"/>
      <c r="P36" s="9"/>
    </row>
    <row r="37" spans="1:16" ht="18.75" customHeight="1">
      <c r="A37" s="22" t="s">
        <v>61</v>
      </c>
      <c r="B37" s="22">
        <v>5</v>
      </c>
      <c r="C37" s="22" t="s">
        <v>40</v>
      </c>
      <c r="D37" s="23">
        <v>65</v>
      </c>
      <c r="E37" s="22">
        <v>0.65</v>
      </c>
      <c r="F37" s="23">
        <f t="shared" si="1"/>
        <v>100</v>
      </c>
      <c r="G37" s="23">
        <v>9.9</v>
      </c>
      <c r="H37" s="24">
        <v>0.153</v>
      </c>
      <c r="I37" s="22">
        <v>20</v>
      </c>
      <c r="J37" s="25">
        <v>6.6</v>
      </c>
      <c r="K37" s="22">
        <v>-8</v>
      </c>
      <c r="L37" s="22">
        <v>-5</v>
      </c>
      <c r="M37" s="8"/>
      <c r="N37" s="8"/>
      <c r="O37" s="8"/>
      <c r="P37" s="9"/>
    </row>
    <row r="38" spans="1:16" ht="18.75" customHeight="1">
      <c r="A38" s="22" t="s">
        <v>62</v>
      </c>
      <c r="B38" s="22">
        <v>5</v>
      </c>
      <c r="C38" s="22" t="s">
        <v>20</v>
      </c>
      <c r="D38" s="23">
        <v>100</v>
      </c>
      <c r="E38" s="22">
        <v>0.6</v>
      </c>
      <c r="F38" s="23">
        <f t="shared" si="1"/>
        <v>166.66666666666669</v>
      </c>
      <c r="G38" s="23">
        <v>12.3</v>
      </c>
      <c r="H38" s="24">
        <v>0.123</v>
      </c>
      <c r="I38" s="22" t="s">
        <v>21</v>
      </c>
      <c r="J38" s="25">
        <v>12</v>
      </c>
      <c r="K38" s="22">
        <v>10</v>
      </c>
      <c r="L38" s="22">
        <v>7</v>
      </c>
      <c r="M38" s="8"/>
      <c r="N38" s="8"/>
      <c r="O38" s="8"/>
      <c r="P38" s="9"/>
    </row>
    <row r="39" spans="1:16" ht="18.75" customHeight="1">
      <c r="A39" s="26" t="s">
        <v>63</v>
      </c>
      <c r="B39" s="26">
        <v>6</v>
      </c>
      <c r="C39" s="26" t="s">
        <v>40</v>
      </c>
      <c r="D39" s="27">
        <v>100</v>
      </c>
      <c r="E39" s="26">
        <v>0.73</v>
      </c>
      <c r="F39" s="27">
        <f t="shared" si="1"/>
        <v>136.98630136986301</v>
      </c>
      <c r="G39" s="27">
        <v>15.3</v>
      </c>
      <c r="H39" s="28">
        <v>0.153</v>
      </c>
      <c r="I39" s="26" t="s">
        <v>21</v>
      </c>
      <c r="J39" s="29">
        <v>5.5</v>
      </c>
      <c r="K39" s="26">
        <v>-4</v>
      </c>
      <c r="L39" s="26" t="s">
        <v>21</v>
      </c>
      <c r="M39" s="8"/>
      <c r="N39" s="9"/>
      <c r="O39" s="9"/>
      <c r="P39" s="9"/>
    </row>
    <row r="40" spans="1:16" ht="18.75" customHeight="1">
      <c r="A40" s="26" t="s">
        <v>64</v>
      </c>
      <c r="B40" s="26">
        <v>6</v>
      </c>
      <c r="C40" s="26" t="s">
        <v>20</v>
      </c>
      <c r="D40" s="27">
        <v>120</v>
      </c>
      <c r="E40" s="26">
        <v>0.6</v>
      </c>
      <c r="F40" s="27">
        <f t="shared" si="1"/>
        <v>200</v>
      </c>
      <c r="G40" s="27"/>
      <c r="H40" s="28">
        <v>0.123</v>
      </c>
      <c r="I40" s="26" t="s">
        <v>21</v>
      </c>
      <c r="J40" s="29">
        <v>14</v>
      </c>
      <c r="K40" s="26">
        <v>-18</v>
      </c>
      <c r="L40" s="26">
        <v>-10</v>
      </c>
      <c r="M40" s="8"/>
      <c r="N40" s="8"/>
      <c r="O40" s="8"/>
      <c r="P40" s="8"/>
    </row>
    <row r="41" spans="1:16" ht="18.75" customHeight="1">
      <c r="A41" s="26" t="s">
        <v>65</v>
      </c>
      <c r="B41" s="26">
        <v>6</v>
      </c>
      <c r="C41" s="26" t="s">
        <v>40</v>
      </c>
      <c r="D41" s="27">
        <v>115</v>
      </c>
      <c r="E41" s="26">
        <v>0.73</v>
      </c>
      <c r="F41" s="27">
        <f t="shared" si="1"/>
        <v>157.53424657534248</v>
      </c>
      <c r="G41" s="27">
        <v>17.600000000000001</v>
      </c>
      <c r="H41" s="28">
        <v>0.153</v>
      </c>
      <c r="I41" s="26" t="s">
        <v>21</v>
      </c>
      <c r="J41" s="29">
        <v>7.8</v>
      </c>
      <c r="K41" s="26">
        <v>-12</v>
      </c>
      <c r="L41" s="26">
        <v>-7</v>
      </c>
      <c r="M41" s="8"/>
      <c r="N41" s="8"/>
      <c r="O41" s="9"/>
      <c r="P41" s="8"/>
    </row>
    <row r="42" spans="1:16" ht="18.75" customHeight="1">
      <c r="A42" s="26" t="s">
        <v>66</v>
      </c>
      <c r="B42" s="26">
        <v>6</v>
      </c>
      <c r="C42" s="26" t="s">
        <v>40</v>
      </c>
      <c r="D42" s="27">
        <v>110</v>
      </c>
      <c r="E42" s="26">
        <v>0.73</v>
      </c>
      <c r="F42" s="27">
        <f t="shared" si="1"/>
        <v>150.68493150684932</v>
      </c>
      <c r="G42" s="27">
        <v>16.899999999999999</v>
      </c>
      <c r="H42" s="28">
        <v>0.153</v>
      </c>
      <c r="I42" s="26" t="s">
        <v>21</v>
      </c>
      <c r="J42" s="29">
        <v>6.9</v>
      </c>
      <c r="K42" s="26">
        <v>-7</v>
      </c>
      <c r="L42" s="26">
        <v>-3</v>
      </c>
      <c r="M42" s="8"/>
      <c r="N42" s="8"/>
      <c r="O42" s="9"/>
      <c r="P42" s="9"/>
    </row>
    <row r="43" spans="1:16" ht="18.75" customHeight="1">
      <c r="A43" s="26" t="s">
        <v>67</v>
      </c>
      <c r="B43" s="26">
        <v>6</v>
      </c>
      <c r="C43" s="26" t="s">
        <v>27</v>
      </c>
      <c r="D43" s="27">
        <v>125</v>
      </c>
      <c r="E43" s="26">
        <v>0.45</v>
      </c>
      <c r="F43" s="27">
        <f t="shared" si="1"/>
        <v>277.77777777777777</v>
      </c>
      <c r="G43" s="27">
        <v>9.5</v>
      </c>
      <c r="H43" s="28">
        <v>7.5999999999999998E-2</v>
      </c>
      <c r="I43" s="26" t="s">
        <v>21</v>
      </c>
      <c r="J43" s="29">
        <v>15</v>
      </c>
      <c r="K43" s="26">
        <v>-18</v>
      </c>
      <c r="L43" s="26">
        <v>-10</v>
      </c>
      <c r="M43" s="8"/>
      <c r="N43" s="8"/>
      <c r="O43" s="8"/>
      <c r="P43" s="8"/>
    </row>
    <row r="44" spans="1:16" ht="18.75" customHeight="1">
      <c r="A44" s="26" t="s">
        <v>68</v>
      </c>
      <c r="B44" s="26">
        <v>6</v>
      </c>
      <c r="C44" s="26" t="s">
        <v>20</v>
      </c>
      <c r="D44" s="27">
        <v>100</v>
      </c>
      <c r="E44" s="26">
        <v>0.6</v>
      </c>
      <c r="F44" s="27">
        <f t="shared" si="1"/>
        <v>166.66666666666669</v>
      </c>
      <c r="G44" s="27">
        <v>12.3</v>
      </c>
      <c r="H44" s="28">
        <v>0.123</v>
      </c>
      <c r="I44" s="26">
        <v>23</v>
      </c>
      <c r="J44" s="29">
        <v>14.4</v>
      </c>
      <c r="K44" s="26">
        <v>-18</v>
      </c>
      <c r="L44" s="26">
        <v>-10</v>
      </c>
      <c r="M44" s="8"/>
      <c r="N44" s="8"/>
      <c r="O44" s="8"/>
      <c r="P44" s="8"/>
    </row>
    <row r="45" spans="1:16" ht="18.75" customHeight="1">
      <c r="A45" s="26" t="s">
        <v>69</v>
      </c>
      <c r="B45" s="26">
        <v>6</v>
      </c>
      <c r="C45" s="26" t="s">
        <v>40</v>
      </c>
      <c r="D45" s="27">
        <v>90</v>
      </c>
      <c r="E45" s="26">
        <v>0.73</v>
      </c>
      <c r="F45" s="27">
        <f t="shared" si="1"/>
        <v>123.28767123287672</v>
      </c>
      <c r="G45" s="27"/>
      <c r="H45" s="28">
        <v>0.153</v>
      </c>
      <c r="I45" s="26">
        <v>20</v>
      </c>
      <c r="J45" s="29">
        <v>6.9</v>
      </c>
      <c r="K45" s="26">
        <v>-10</v>
      </c>
      <c r="L45" s="26">
        <v>-6</v>
      </c>
      <c r="M45" s="8"/>
      <c r="N45" s="8"/>
      <c r="O45" s="8"/>
      <c r="P45" s="9"/>
    </row>
    <row r="46" spans="1:16" ht="18.75" customHeight="1">
      <c r="A46" s="26" t="s">
        <v>70</v>
      </c>
      <c r="B46" s="26">
        <v>6</v>
      </c>
      <c r="C46" s="26" t="s">
        <v>31</v>
      </c>
      <c r="D46" s="27">
        <v>90</v>
      </c>
      <c r="E46" s="26">
        <v>0.55000000000000004</v>
      </c>
      <c r="F46" s="27">
        <f t="shared" si="1"/>
        <v>163.63636363636363</v>
      </c>
      <c r="G46" s="27">
        <v>9.1</v>
      </c>
      <c r="H46" s="28">
        <v>0.10100000000000001</v>
      </c>
      <c r="I46" s="26">
        <v>18</v>
      </c>
      <c r="J46" s="29">
        <v>6.8</v>
      </c>
      <c r="K46" s="26">
        <v>-8</v>
      </c>
      <c r="L46" s="26">
        <v>-3</v>
      </c>
      <c r="M46" s="8"/>
      <c r="N46" s="8"/>
      <c r="O46" s="9"/>
      <c r="P46" s="9"/>
    </row>
    <row r="47" spans="1:16" ht="18.75" customHeight="1">
      <c r="A47" s="26" t="s">
        <v>71</v>
      </c>
      <c r="B47" s="26">
        <v>6</v>
      </c>
      <c r="C47" s="26" t="s">
        <v>40</v>
      </c>
      <c r="D47" s="27">
        <v>95</v>
      </c>
      <c r="E47" s="26">
        <v>0.73</v>
      </c>
      <c r="F47" s="27">
        <f t="shared" si="1"/>
        <v>130.13698630136986</v>
      </c>
      <c r="G47" s="27">
        <v>14.6</v>
      </c>
      <c r="H47" s="28">
        <v>0.153</v>
      </c>
      <c r="I47" s="26">
        <v>18</v>
      </c>
      <c r="J47" s="29">
        <v>7.2</v>
      </c>
      <c r="K47" s="26">
        <v>-6</v>
      </c>
      <c r="L47" s="26">
        <v>-5</v>
      </c>
      <c r="M47" s="8"/>
      <c r="N47" s="8"/>
      <c r="O47" s="9"/>
      <c r="P47" s="9"/>
    </row>
    <row r="48" spans="1:16" ht="18.75" customHeight="1">
      <c r="A48" s="26" t="s">
        <v>72</v>
      </c>
      <c r="B48" s="26">
        <v>6</v>
      </c>
      <c r="C48" s="26" t="s">
        <v>20</v>
      </c>
      <c r="D48" s="27">
        <v>100</v>
      </c>
      <c r="E48" s="26">
        <v>0.6</v>
      </c>
      <c r="F48" s="27">
        <f t="shared" si="1"/>
        <v>166.66666666666669</v>
      </c>
      <c r="G48" s="27">
        <v>12.3</v>
      </c>
      <c r="H48" s="28">
        <v>0.123</v>
      </c>
      <c r="I48" s="26">
        <v>20</v>
      </c>
      <c r="J48" s="29">
        <v>8.6</v>
      </c>
      <c r="K48" s="26">
        <v>-7</v>
      </c>
      <c r="L48" s="26">
        <v>-5</v>
      </c>
      <c r="M48" s="8"/>
      <c r="N48" s="8"/>
      <c r="O48" s="9"/>
      <c r="P48" s="9"/>
    </row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Victor2</dc:creator>
  <cp:lastModifiedBy>翼 欧阳</cp:lastModifiedBy>
  <dcterms:created xsi:type="dcterms:W3CDTF">2015-06-05T18:19:34Z</dcterms:created>
  <dcterms:modified xsi:type="dcterms:W3CDTF">2026-01-22T05:58:33Z</dcterms:modified>
</cp:coreProperties>
</file>